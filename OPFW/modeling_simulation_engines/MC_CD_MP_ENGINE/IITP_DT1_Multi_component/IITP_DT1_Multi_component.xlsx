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ocoffee.sharepoint.com/sites/TeamsLBM/Shared Documents/General/기타 프로젝트/IITP 3차년도/테스트_시나리오/검증용 파일/IITP_DT1_Multi_component/"/>
    </mc:Choice>
  </mc:AlternateContent>
  <xr:revisionPtr revIDLastSave="52" documentId="13_ncr:1_{AB6D56D1-CED5-4E64-BADE-1A0116DBBF9F}" xr6:coauthVersionLast="47" xr6:coauthVersionMax="47" xr10:uidLastSave="{56B179FC-1186-4C64-A86A-E105F18F839E}"/>
  <bookViews>
    <workbookView xWindow="-110" yWindow="-110" windowWidth="38620" windowHeight="21100" xr2:uid="{3FFE43A7-5A81-4AC0-B0FD-C88ECFDDA7AC}"/>
  </bookViews>
  <sheets>
    <sheet name="grap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G11" i="1"/>
  <c r="H11" i="1"/>
  <c r="F12" i="1"/>
  <c r="G12" i="1"/>
  <c r="H12" i="1"/>
  <c r="F13" i="1"/>
  <c r="G13" i="1"/>
  <c r="H13" i="1"/>
  <c r="F14" i="1"/>
  <c r="G14" i="1"/>
  <c r="H14" i="1"/>
  <c r="G10" i="1"/>
  <c r="H10" i="1"/>
  <c r="F10" i="1"/>
  <c r="C11" i="1"/>
  <c r="D11" i="1"/>
  <c r="E11" i="1"/>
  <c r="C12" i="1"/>
  <c r="D12" i="1"/>
  <c r="E12" i="1"/>
  <c r="C13" i="1"/>
  <c r="D13" i="1"/>
  <c r="E13" i="1"/>
  <c r="C14" i="1"/>
  <c r="D14" i="1"/>
  <c r="E14" i="1"/>
  <c r="D10" i="1"/>
  <c r="E10" i="1"/>
  <c r="C10" i="1"/>
</calcChain>
</file>

<file path=xl/sharedStrings.xml><?xml version="1.0" encoding="utf-8"?>
<sst xmlns="http://schemas.openxmlformats.org/spreadsheetml/2006/main" count="14" uniqueCount="7">
  <si>
    <t>time</t>
    <phoneticPr fontId="18" type="noConversion"/>
  </si>
  <si>
    <t>spike</t>
    <phoneticPr fontId="18" type="noConversion"/>
  </si>
  <si>
    <t>saddle</t>
    <phoneticPr fontId="18" type="noConversion"/>
  </si>
  <si>
    <t>bubble</t>
    <phoneticPr fontId="18" type="noConversion"/>
  </si>
  <si>
    <t>E8 spike</t>
    <phoneticPr fontId="18" type="noConversion"/>
  </si>
  <si>
    <t>E8 saddle</t>
    <phoneticPr fontId="18" type="noConversion"/>
  </si>
  <si>
    <t>E8 bubble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</si>
</sst>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.000_ 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09485443037009"/>
          <c:y val="0.12317126328971133"/>
          <c:w val="0.84414058233955558"/>
          <c:h val="0.6887231182338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graph!$C$2</c:f>
              <c:strCache>
                <c:ptCount val="1"/>
                <c:pt idx="0">
                  <c:v>spike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graph!$B$3:$B$7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graph!$C$3:$C$7</c:f>
              <c:numCache>
                <c:formatCode>General</c:formatCode>
                <c:ptCount val="5"/>
                <c:pt idx="0">
                  <c:v>1.8896999999999999</c:v>
                </c:pt>
                <c:pt idx="1">
                  <c:v>1.7494000000000001</c:v>
                </c:pt>
                <c:pt idx="2">
                  <c:v>1.3108</c:v>
                </c:pt>
                <c:pt idx="3">
                  <c:v>0.71679999999999999</c:v>
                </c:pt>
                <c:pt idx="4">
                  <c:v>7.7799999999999994E-2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F-485C-8581-FF639F686EF0}"/>
            </c:ext>
          </c:extLst>
        </c:ser>
        <c:ser>
          <c:idx val="1"/>
          <c:order val="1"/>
          <c:tx>
            <c:strRef>
              <c:f>graph!$D$2</c:f>
              <c:strCache>
                <c:ptCount val="1"/>
                <c:pt idx="0">
                  <c:v>saddle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graph!$B$3:$B$7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graph!$D$3:$D$7</c:f>
              <c:numCache>
                <c:formatCode>General</c:formatCode>
                <c:ptCount val="5"/>
                <c:pt idx="0">
                  <c:v>1.9875</c:v>
                </c:pt>
                <c:pt idx="1">
                  <c:v>1.9751000000000001</c:v>
                </c:pt>
                <c:pt idx="2">
                  <c:v>1.8579000000000001</c:v>
                </c:pt>
                <c:pt idx="3">
                  <c:v>1.7354000000000001</c:v>
                </c:pt>
                <c:pt idx="4">
                  <c:v>1.6641999999999999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BF-485C-8581-FF639F686EF0}"/>
            </c:ext>
          </c:extLst>
        </c:ser>
        <c:ser>
          <c:idx val="2"/>
          <c:order val="2"/>
          <c:tx>
            <c:strRef>
              <c:f>graph!$E$2</c:f>
              <c:strCache>
                <c:ptCount val="1"/>
                <c:pt idx="0">
                  <c:v>bubble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graph!$B$3:$B$7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graph!$E$3:$E$7</c:f>
              <c:numCache>
                <c:formatCode>General</c:formatCode>
                <c:ptCount val="5"/>
                <c:pt idx="0">
                  <c:v>2.0802999999999998</c:v>
                </c:pt>
                <c:pt idx="1">
                  <c:v>2.2244999999999999</c:v>
                </c:pt>
                <c:pt idx="2">
                  <c:v>2.5278999999999998</c:v>
                </c:pt>
                <c:pt idx="3">
                  <c:v>2.8393000000000002</c:v>
                </c:pt>
                <c:pt idx="4">
                  <c:v>3.1661999999999999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BF-485C-8581-FF639F686EF0}"/>
            </c:ext>
          </c:extLst>
        </c:ser>
        <c:ser>
          <c:idx val="3"/>
          <c:order val="3"/>
          <c:tx>
            <c:strRef>
              <c:f>graph!$F$2</c:f>
              <c:strCache>
                <c:ptCount val="1"/>
                <c:pt idx="0">
                  <c:v>E8 spike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graph!$B$3:$B$7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graph!$F$3:$F$7</c:f>
              <c:numCache>
                <c:formatCode>General</c:formatCode>
                <c:ptCount val="5"/>
                <c:pt idx="0">
                  <c:v>1.9059999999999999</c:v>
                </c:pt>
                <c:pt idx="1">
                  <c:v>1.7709999999999999</c:v>
                </c:pt>
                <c:pt idx="2">
                  <c:v>1.345</c:v>
                </c:pt>
                <c:pt idx="3">
                  <c:v>0.77059999999999995</c:v>
                </c:pt>
                <c:pt idx="4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BF-485C-8581-FF639F686EF0}"/>
            </c:ext>
          </c:extLst>
        </c:ser>
        <c:ser>
          <c:idx val="4"/>
          <c:order val="4"/>
          <c:tx>
            <c:strRef>
              <c:f>graph!$G$2</c:f>
              <c:strCache>
                <c:ptCount val="1"/>
                <c:pt idx="0">
                  <c:v>E8 saddle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graph!$B$3:$B$7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graph!$G$3:$G$7</c:f>
              <c:numCache>
                <c:formatCode>General</c:formatCode>
                <c:ptCount val="5"/>
                <c:pt idx="0">
                  <c:v>2.008</c:v>
                </c:pt>
                <c:pt idx="1">
                  <c:v>1.988</c:v>
                </c:pt>
                <c:pt idx="2">
                  <c:v>1.88</c:v>
                </c:pt>
                <c:pt idx="3">
                  <c:v>1.7829999999999999</c:v>
                </c:pt>
                <c:pt idx="4">
                  <c:v>1.738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BF-485C-8581-FF639F686EF0}"/>
            </c:ext>
          </c:extLst>
        </c:ser>
        <c:ser>
          <c:idx val="5"/>
          <c:order val="5"/>
          <c:tx>
            <c:strRef>
              <c:f>graph!$H$2</c:f>
              <c:strCache>
                <c:ptCount val="1"/>
                <c:pt idx="0">
                  <c:v>E8 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graph!$B$3:$B$7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graph!$H$3:$H$7</c:f>
              <c:numCache>
                <c:formatCode>General</c:formatCode>
                <c:ptCount val="5"/>
                <c:pt idx="0">
                  <c:v>2.1019999999999999</c:v>
                </c:pt>
                <c:pt idx="1">
                  <c:v>2.2290000000000001</c:v>
                </c:pt>
                <c:pt idx="2">
                  <c:v>2.52</c:v>
                </c:pt>
                <c:pt idx="3">
                  <c:v>2.8010000000000002</c:v>
                </c:pt>
                <c:pt idx="4">
                  <c:v>3.1150000000000002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BF-485C-8581-FF639F686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094112"/>
        <c:axId val="1817094592"/>
      </c:scatterChart>
      <c:valAx>
        <c:axId val="1817094112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/>
                  <a:t>Time</a:t>
                </a:r>
                <a:endParaRPr lang="ko-KR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94592"/>
        <c:crosses val="autoZero"/>
        <c:crossBetween val="midCat"/>
      </c:valAx>
      <c:valAx>
        <c:axId val="181709459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/>
                  <a:t>Position</a:t>
                </a:r>
                <a:endParaRPr lang="ko-KR" altLang="en-US" sz="1400"/>
              </a:p>
            </c:rich>
          </c:tx>
          <c:layout>
            <c:manualLayout>
              <c:xMode val="edge"/>
              <c:yMode val="edge"/>
              <c:x val="8.3427412243940596E-3"/>
              <c:y val="0.42777004795396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94112"/>
        <c:crosses val="autoZero"/>
        <c:crossBetween val="midCat"/>
        <c:majorUnit val="1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295743</xdr:colOff>
      <xdr:row>1</xdr:row>
      <xdr:rowOff>3547</xdr:rowOff>
    </xdr:from>
    <xdr:to>
      <xdr:col>16</xdr:col>
      <xdr:colOff>11330</xdr:colOff>
      <xdr:row>18</xdr:row>
      <xdr:rowOff>166927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DEBAB8D-FA54-20F4-D0B0-8CC934725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BC10-1A52-475A-8DBC-B945F22AD4A5}">
  <dimension ref="B1:H14"/>
  <sheetViews>
    <sheetView tabSelected="1" zoomScale="130" zoomScaleNormal="130" workbookViewId="0">
      <selection activeCell="I23" sqref="I23"/>
    </sheetView>
  </sheetViews>
  <sheetFormatPr defaultRowHeight="17.100000000000001"/>
  <cols>
    <col min="2" max="2" width="4.875" bestFit="1" customWidth="1"/>
    <col min="3" max="5" width="7.25" bestFit="1" customWidth="1"/>
    <col min="6" max="7" width="11.375" bestFit="1" customWidth="1"/>
  </cols>
  <sheetData>
    <row r="1" spans="2:8" ht="17.45" thickBot="1"/>
    <row r="2" spans="2:8" ht="17.45" thickBot="1">
      <c r="B2" s="11" t="s">
        <v>0</v>
      </c>
      <c r="C2" s="29" t="s">
        <v>1</v>
      </c>
      <c r="D2" s="12" t="s">
        <v>2</v>
      </c>
      <c r="E2" s="13" t="s">
        <v>3</v>
      </c>
      <c r="F2" s="10" t="s">
        <v>4</v>
      </c>
      <c r="G2" s="7" t="s">
        <v>5</v>
      </c>
      <c r="H2" s="7" t="s">
        <v>6</v>
      </c>
    </row>
    <row r="3" spans="2:8">
      <c r="B3" s="8">
        <v>0</v>
      </c>
      <c r="C3" s="30">
        <v>1.8896999999999999</v>
      </c>
      <c r="D3" s="1">
        <v>1.9875</v>
      </c>
      <c r="E3" s="31">
        <v>2.0802999999999998</v>
      </c>
      <c r="F3" s="2">
        <v>1.9059999999999999</v>
      </c>
      <c r="G3" s="2">
        <v>2.008</v>
      </c>
      <c r="H3" s="3">
        <v>2.1019999999999999</v>
      </c>
    </row>
    <row r="4" spans="2:8">
      <c r="B4" s="8">
        <v>1</v>
      </c>
      <c r="C4" s="30">
        <v>1.7494000000000001</v>
      </c>
      <c r="D4" s="1">
        <v>1.9751000000000001</v>
      </c>
      <c r="E4" s="31">
        <v>2.2244999999999999</v>
      </c>
      <c r="F4" s="1">
        <v>1.7709999999999999</v>
      </c>
      <c r="G4" s="1">
        <v>1.988</v>
      </c>
      <c r="H4" s="4">
        <v>2.2290000000000001</v>
      </c>
    </row>
    <row r="5" spans="2:8">
      <c r="B5" s="8">
        <v>2</v>
      </c>
      <c r="C5" s="30">
        <v>1.3108</v>
      </c>
      <c r="D5" s="1">
        <v>1.8579000000000001</v>
      </c>
      <c r="E5" s="31">
        <v>2.5278999999999998</v>
      </c>
      <c r="F5" s="1">
        <v>1.345</v>
      </c>
      <c r="G5" s="1">
        <v>1.88</v>
      </c>
      <c r="H5" s="4">
        <v>2.52</v>
      </c>
    </row>
    <row r="6" spans="2:8">
      <c r="B6" s="8">
        <v>3</v>
      </c>
      <c r="C6" s="30">
        <v>0.71679999999999999</v>
      </c>
      <c r="D6" s="1">
        <v>1.7354000000000001</v>
      </c>
      <c r="E6" s="31">
        <v>2.8393000000000002</v>
      </c>
      <c r="F6" s="1">
        <v>0.77059999999999995</v>
      </c>
      <c r="G6" s="1">
        <v>1.7829999999999999</v>
      </c>
      <c r="H6" s="4">
        <v>2.8010000000000002</v>
      </c>
    </row>
    <row r="7" spans="2:8" ht="17.45" thickBot="1">
      <c r="B7" s="9">
        <v>4</v>
      </c>
      <c r="C7" s="32">
        <v>7.7799999999999994E-2</v>
      </c>
      <c r="D7" s="33">
        <v>1.6641999999999999</v>
      </c>
      <c r="E7" s="34">
        <v>3.1661999999999999</v>
      </c>
      <c r="F7" s="5">
        <v>0.13100000000000001</v>
      </c>
      <c r="G7" s="5">
        <v>1.738</v>
      </c>
      <c r="H7" s="6">
        <v>3.1150000000000002</v>
      </c>
    </row>
    <row r="8" spans="2:8">
      <c r="B8" s="1"/>
      <c r="C8" s="1"/>
      <c r="D8" s="1"/>
      <c r="E8" s="1"/>
      <c r="F8" s="1"/>
      <c r="G8" s="1"/>
      <c r="H8" s="1"/>
    </row>
    <row r="9" spans="2:8">
      <c r="B9" s="11" t="s">
        <v>0</v>
      </c>
      <c r="C9" s="12" t="s">
        <v>1</v>
      </c>
      <c r="D9" s="12" t="s">
        <v>2</v>
      </c>
      <c r="E9" s="12" t="s">
        <v>3</v>
      </c>
      <c r="F9" s="29" t="s">
        <v>1</v>
      </c>
      <c r="G9" s="12" t="s">
        <v>2</v>
      </c>
      <c r="H9" s="13" t="s">
        <v>3</v>
      </c>
    </row>
    <row r="10" spans="2:8">
      <c r="B10" s="8">
        <v>0</v>
      </c>
      <c r="C10" s="14">
        <f>(1-ABS(C3-F3)/4)*100</f>
        <v>99.592500000000001</v>
      </c>
      <c r="D10" s="15">
        <f t="shared" ref="D10:E10" si="0">(1-ABS(D3-G3)/4)*100</f>
        <v>99.487499999999997</v>
      </c>
      <c r="E10" s="15">
        <f t="shared" si="0"/>
        <v>99.457499999999996</v>
      </c>
      <c r="F10" s="20">
        <f>(1-ABS(C3-F3)/4)</f>
        <v>0.99592499999999995</v>
      </c>
      <c r="G10" s="21">
        <f t="shared" ref="G10:H10" si="1">(1-ABS(D3-G3)/4)</f>
        <v>0.99487499999999995</v>
      </c>
      <c r="H10" s="22">
        <f t="shared" si="1"/>
        <v>0.99457499999999999</v>
      </c>
    </row>
    <row r="11" spans="2:8">
      <c r="B11" s="8">
        <v>1</v>
      </c>
      <c r="C11" s="16">
        <f t="shared" ref="C11:C14" si="2">(1-ABS(C4-F4)/4)*100</f>
        <v>99.460000000000008</v>
      </c>
      <c r="D11" s="17">
        <f t="shared" ref="D11:D14" si="3">(1-ABS(D4-G4)/4)*100</f>
        <v>99.677499999999995</v>
      </c>
      <c r="E11" s="17">
        <f t="shared" ref="E11:E14" si="4">(1-ABS(E4-H4)/4)*100</f>
        <v>99.887499999999989</v>
      </c>
      <c r="F11" s="23">
        <f t="shared" ref="F11:F14" si="5">(1-ABS(C4-F4)/4)</f>
        <v>0.99460000000000004</v>
      </c>
      <c r="G11" s="24">
        <f t="shared" ref="G11:G14" si="6">(1-ABS(D4-G4)/4)</f>
        <v>0.99677499999999997</v>
      </c>
      <c r="H11" s="25">
        <f t="shared" ref="H11:H14" si="7">(1-ABS(E4-H4)/4)</f>
        <v>0.99887499999999996</v>
      </c>
    </row>
    <row r="12" spans="2:8">
      <c r="B12" s="8">
        <v>2</v>
      </c>
      <c r="C12" s="16">
        <f t="shared" si="2"/>
        <v>99.144999999999996</v>
      </c>
      <c r="D12" s="17">
        <f t="shared" si="3"/>
        <v>99.447500000000005</v>
      </c>
      <c r="E12" s="17">
        <f t="shared" si="4"/>
        <v>99.802500000000009</v>
      </c>
      <c r="F12" s="23">
        <f t="shared" si="5"/>
        <v>0.99144999999999994</v>
      </c>
      <c r="G12" s="24">
        <f t="shared" si="6"/>
        <v>0.994475</v>
      </c>
      <c r="H12" s="25">
        <f t="shared" si="7"/>
        <v>0.99802500000000005</v>
      </c>
    </row>
    <row r="13" spans="2:8">
      <c r="B13" s="8">
        <v>3</v>
      </c>
      <c r="C13" s="16">
        <f t="shared" si="2"/>
        <v>98.655000000000001</v>
      </c>
      <c r="D13" s="17">
        <f t="shared" si="3"/>
        <v>98.81</v>
      </c>
      <c r="E13" s="17">
        <f t="shared" si="4"/>
        <v>99.042500000000004</v>
      </c>
      <c r="F13" s="23">
        <f t="shared" si="5"/>
        <v>0.98655000000000004</v>
      </c>
      <c r="G13" s="24">
        <f t="shared" si="6"/>
        <v>0.98809999999999998</v>
      </c>
      <c r="H13" s="25">
        <f t="shared" si="7"/>
        <v>0.990425</v>
      </c>
    </row>
    <row r="14" spans="2:8">
      <c r="B14" s="9">
        <v>4</v>
      </c>
      <c r="C14" s="18">
        <f t="shared" si="2"/>
        <v>98.67</v>
      </c>
      <c r="D14" s="19">
        <f t="shared" si="3"/>
        <v>98.154999999999987</v>
      </c>
      <c r="E14" s="19">
        <f t="shared" si="4"/>
        <v>98.720000000000013</v>
      </c>
      <c r="F14" s="26">
        <f t="shared" si="5"/>
        <v>0.98670000000000002</v>
      </c>
      <c r="G14" s="27">
        <f t="shared" si="6"/>
        <v>0.98154999999999992</v>
      </c>
      <c r="H14" s="28">
        <f t="shared" si="7"/>
        <v>0.98720000000000008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365B9714281FD4483C01F42802E8EB7" ma:contentTypeVersion="6" ma:contentTypeDescription="새 문서를 만듭니다." ma:contentTypeScope="" ma:versionID="fc6325f5c8280c22d3344df9a6e8a59d">
  <xsd:schema xmlns:xsd="http://www.w3.org/2001/XMLSchema" xmlns:xs="http://www.w3.org/2001/XMLSchema" xmlns:p="http://schemas.microsoft.com/office/2006/metadata/properties" xmlns:ns2="511bda16-106b-4bf9-ab62-74201c64ce91" xmlns:ns3="b1729ce5-bd82-49f5-ab74-c5988a195dc0" targetNamespace="http://schemas.microsoft.com/office/2006/metadata/properties" ma:root="true" ma:fieldsID="efbe280cef0121d7d6247d2f1ac4ba71" ns2:_="" ns3:_="">
    <xsd:import namespace="511bda16-106b-4bf9-ab62-74201c64ce91"/>
    <xsd:import namespace="b1729ce5-bd82-49f5-ab74-c5988a195d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bda16-106b-4bf9-ab62-74201c64c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29ce5-bd82-49f5-ab74-c5988a195d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465D77-05B9-4B38-89D8-C0AB3768CDB8}"/>
</file>

<file path=customXml/itemProps2.xml><?xml version="1.0" encoding="utf-8"?>
<ds:datastoreItem xmlns:ds="http://schemas.openxmlformats.org/officeDocument/2006/customXml" ds:itemID="{1E417F5E-DD85-40AB-81A4-C290B6B41B39}"/>
</file>

<file path=customXml/itemProps3.xml><?xml version="1.0" encoding="utf-8"?>
<ds:datastoreItem xmlns:ds="http://schemas.openxmlformats.org/officeDocument/2006/customXml" ds:itemID="{36B5AE66-07FB-4D4E-8036-B00A31E82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서민석</cp:lastModifiedBy>
  <cp:revision/>
  <dcterms:created xsi:type="dcterms:W3CDTF">2024-10-18T05:52:18Z</dcterms:created>
  <dcterms:modified xsi:type="dcterms:W3CDTF">2024-10-23T05:58:26Z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0x0101005365B9714281FD4483C01F42802E8EB7</vt:lpwstr>
  </property>
</Properties>
</file>