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D:\NFLOW_SDK\JSON\"/>
    </mc:Choice>
  </mc:AlternateContent>
  <xr:revisionPtr revIDLastSave="0" documentId="13_ncr:1_{DCA40ADD-ACEE-4B60-BC47-D9FCE6D03FB3}" xr6:coauthVersionLast="47" xr6:coauthVersionMax="47" xr10:uidLastSave="{00000000-0000-0000-0000-000000000000}"/>
  <bookViews>
    <workbookView xWindow="32811" yWindow="-103" windowWidth="33120" windowHeight="18000" xr2:uid="{5FB04DE2-3A1F-4A86-82D2-40F1746C2688}"/>
  </bookViews>
  <sheets>
    <sheet name="Droplet_impact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H56" i="4"/>
  <c r="H26" i="4" l="1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B47" i="4"/>
  <c r="C47" i="4" s="1"/>
  <c r="B48" i="4"/>
  <c r="C48" i="4" s="1"/>
  <c r="B49" i="4"/>
  <c r="C49" i="4" s="1"/>
  <c r="B50" i="4"/>
  <c r="C50" i="4" s="1"/>
  <c r="B51" i="4"/>
  <c r="C51" i="4" s="1"/>
  <c r="B52" i="4"/>
  <c r="C52" i="4" s="1"/>
  <c r="B53" i="4"/>
  <c r="C53" i="4" s="1"/>
  <c r="B54" i="4"/>
  <c r="C54" i="4" s="1"/>
  <c r="B55" i="4"/>
  <c r="C55" i="4" s="1"/>
  <c r="B56" i="4"/>
  <c r="B46" i="4"/>
  <c r="B45" i="4"/>
  <c r="B44" i="4"/>
  <c r="C44" i="4" s="1"/>
  <c r="B43" i="4"/>
  <c r="B42" i="4"/>
  <c r="C42" i="4" s="1"/>
  <c r="H41" i="4"/>
  <c r="F41" i="4"/>
  <c r="B41" i="4"/>
  <c r="C41" i="4" s="1"/>
  <c r="F40" i="4"/>
  <c r="B40" i="4"/>
  <c r="C40" i="4" s="1"/>
  <c r="F39" i="4"/>
  <c r="B39" i="4"/>
  <c r="C39" i="4" s="1"/>
  <c r="F38" i="4"/>
  <c r="B38" i="4"/>
  <c r="C38" i="4" s="1"/>
  <c r="F37" i="4"/>
  <c r="B37" i="4"/>
  <c r="C37" i="4" s="1"/>
  <c r="F36" i="4"/>
  <c r="B36" i="4"/>
  <c r="C36" i="4" s="1"/>
  <c r="F35" i="4"/>
  <c r="B35" i="4"/>
  <c r="C35" i="4" s="1"/>
  <c r="F34" i="4"/>
  <c r="B34" i="4"/>
  <c r="F33" i="4"/>
  <c r="B33" i="4"/>
  <c r="C33" i="4" s="1"/>
  <c r="F32" i="4"/>
  <c r="B32" i="4"/>
  <c r="C32" i="4" s="1"/>
  <c r="F31" i="4"/>
  <c r="B31" i="4"/>
  <c r="C31" i="4" s="1"/>
  <c r="F30" i="4"/>
  <c r="B30" i="4"/>
  <c r="C30" i="4" s="1"/>
  <c r="F29" i="4"/>
  <c r="B29" i="4"/>
  <c r="C29" i="4" s="1"/>
  <c r="F28" i="4"/>
  <c r="B28" i="4"/>
  <c r="C28" i="4" s="1"/>
  <c r="F27" i="4"/>
  <c r="B27" i="4"/>
  <c r="C27" i="4" s="1"/>
  <c r="F26" i="4"/>
  <c r="B26" i="4"/>
  <c r="C26" i="4" s="1"/>
  <c r="B20" i="4"/>
  <c r="C20" i="4" s="1"/>
  <c r="B21" i="4"/>
  <c r="C21" i="4" s="1"/>
  <c r="B22" i="4"/>
  <c r="C22" i="4" s="1"/>
  <c r="C7" i="4"/>
  <c r="B8" i="4"/>
  <c r="C8" i="4" s="1"/>
  <c r="B9" i="4"/>
  <c r="C9" i="4" s="1"/>
  <c r="B10" i="4"/>
  <c r="C10" i="4" s="1"/>
  <c r="B11" i="4"/>
  <c r="C11" i="4" s="1"/>
  <c r="B12" i="4"/>
  <c r="C12" i="4" s="1"/>
  <c r="B13" i="4"/>
  <c r="C13" i="4" s="1"/>
  <c r="B14" i="4"/>
  <c r="C14" i="4" s="1"/>
  <c r="B15" i="4"/>
  <c r="C15" i="4" s="1"/>
  <c r="B16" i="4"/>
  <c r="C16" i="4" s="1"/>
  <c r="B17" i="4"/>
  <c r="C17" i="4" s="1"/>
  <c r="B18" i="4"/>
  <c r="C18" i="4" s="1"/>
  <c r="B19" i="4"/>
  <c r="C19" i="4" s="1"/>
  <c r="B6" i="4"/>
  <c r="C6" i="4" s="1"/>
  <c r="C43" i="4" l="1"/>
  <c r="I43" i="4" s="1"/>
  <c r="J43" i="4" s="1"/>
  <c r="C45" i="4"/>
  <c r="I45" i="4" s="1"/>
  <c r="J45" i="4" s="1"/>
  <c r="C46" i="4"/>
  <c r="I46" i="4" s="1"/>
  <c r="J46" i="4" s="1"/>
  <c r="C56" i="4"/>
  <c r="I56" i="4" s="1"/>
  <c r="J56" i="4" s="1"/>
  <c r="C34" i="4"/>
  <c r="I34" i="4" s="1"/>
  <c r="J34" i="4" s="1"/>
  <c r="I36" i="4"/>
  <c r="J36" i="4" s="1"/>
  <c r="I35" i="4"/>
  <c r="J35" i="4" s="1"/>
  <c r="I44" i="4"/>
  <c r="J44" i="4" s="1"/>
  <c r="I53" i="4"/>
  <c r="J53" i="4" s="1"/>
  <c r="I52" i="4"/>
  <c r="J52" i="4" s="1"/>
  <c r="I54" i="4"/>
  <c r="J54" i="4" s="1"/>
  <c r="I51" i="4"/>
  <c r="J51" i="4" s="1"/>
  <c r="I37" i="4"/>
  <c r="J37" i="4" s="1"/>
  <c r="I38" i="4"/>
  <c r="J38" i="4" s="1"/>
  <c r="I47" i="4"/>
  <c r="J47" i="4" s="1"/>
  <c r="I31" i="4"/>
  <c r="J31" i="4" s="1"/>
  <c r="I48" i="4"/>
  <c r="J48" i="4" s="1"/>
  <c r="I39" i="4"/>
  <c r="J39" i="4" s="1"/>
  <c r="I50" i="4"/>
  <c r="J50" i="4" s="1"/>
  <c r="I49" i="4"/>
  <c r="J49" i="4" s="1"/>
  <c r="I40" i="4"/>
  <c r="J40" i="4" s="1"/>
  <c r="I41" i="4"/>
  <c r="J41" i="4" s="1"/>
  <c r="I32" i="4"/>
  <c r="J32" i="4" s="1"/>
  <c r="I33" i="4"/>
  <c r="J33" i="4" s="1"/>
  <c r="I42" i="4"/>
  <c r="J42" i="4" s="1"/>
  <c r="I55" i="4"/>
  <c r="J55" i="4" s="1"/>
</calcChain>
</file>

<file path=xl/sharedStrings.xml><?xml version="1.0" encoding="utf-8"?>
<sst xmlns="http://schemas.openxmlformats.org/spreadsheetml/2006/main" count="24" uniqueCount="22">
  <si>
    <t>D</t>
    <phoneticPr fontId="1" type="noConversion"/>
  </si>
  <si>
    <t>h0</t>
    <phoneticPr fontId="1" type="noConversion"/>
  </si>
  <si>
    <t>V0</t>
    <phoneticPr fontId="1" type="noConversion"/>
  </si>
  <si>
    <t>iter</t>
    <phoneticPr fontId="1" type="noConversion"/>
  </si>
  <si>
    <t>t*</t>
    <phoneticPr fontId="1" type="noConversion"/>
  </si>
  <si>
    <t>Analytical</t>
    <phoneticPr fontId="1" type="noConversion"/>
  </si>
  <si>
    <t>50 iter 마다
저장됨.</t>
    <phoneticPr fontId="1" type="noConversion"/>
  </si>
  <si>
    <t>왕관 
최고 높이</t>
    <phoneticPr fontId="1" type="noConversion"/>
  </si>
  <si>
    <t>초기 수위</t>
    <phoneticPr fontId="1" type="noConversion"/>
  </si>
  <si>
    <t>왕관 반경 위치</t>
    <phoneticPr fontId="1" type="noConversion"/>
  </si>
  <si>
    <t>무차원화 된 왕관 반경</t>
    <phoneticPr fontId="1" type="noConversion"/>
  </si>
  <si>
    <t>정확도</t>
    <phoneticPr fontId="1" type="noConversion"/>
  </si>
  <si>
    <t>Analyticcal</t>
    <phoneticPr fontId="1" type="noConversion"/>
  </si>
  <si>
    <t>y_max</t>
    <phoneticPr fontId="1" type="noConversion"/>
  </si>
  <si>
    <t>y_min</t>
    <phoneticPr fontId="1" type="noConversion"/>
  </si>
  <si>
    <t>y_avg</t>
    <phoneticPr fontId="1" type="noConversion"/>
  </si>
  <si>
    <t>x_pos</t>
    <phoneticPr fontId="1" type="noConversion"/>
  </si>
  <si>
    <t>r_c/D</t>
    <phoneticPr fontId="1" type="noConversion"/>
  </si>
  <si>
    <t>Error</t>
    <phoneticPr fontId="1" type="noConversion"/>
  </si>
  <si>
    <t>Accuracy
[%]</t>
    <phoneticPr fontId="1" type="noConversion"/>
  </si>
  <si>
    <t>참고문헌[3]</t>
    <phoneticPr fontId="1" type="noConversion"/>
  </si>
  <si>
    <t>Kharmiani 
et 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</si>
</sst>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Droplet_impact!$B$7:$B$22</c:f>
              <c:numCache>
                <c:formatCode>General</c:formatCode>
                <c:ptCount val="16"/>
                <c:pt idx="0">
                  <c:v>0.15</c:v>
                </c:pt>
                <c:pt idx="1">
                  <c:v>0.3</c:v>
                </c:pt>
                <c:pt idx="2">
                  <c:v>0.45</c:v>
                </c:pt>
                <c:pt idx="3">
                  <c:v>0.6</c:v>
                </c:pt>
                <c:pt idx="4">
                  <c:v>0.75</c:v>
                </c:pt>
                <c:pt idx="5">
                  <c:v>0.9</c:v>
                </c:pt>
                <c:pt idx="6">
                  <c:v>1.05</c:v>
                </c:pt>
                <c:pt idx="7">
                  <c:v>1.2</c:v>
                </c:pt>
                <c:pt idx="8">
                  <c:v>1.35</c:v>
                </c:pt>
                <c:pt idx="9">
                  <c:v>1.5</c:v>
                </c:pt>
                <c:pt idx="10">
                  <c:v>1.65</c:v>
                </c:pt>
                <c:pt idx="11">
                  <c:v>1.8</c:v>
                </c:pt>
                <c:pt idx="12">
                  <c:v>1.95</c:v>
                </c:pt>
                <c:pt idx="13">
                  <c:v>2.1</c:v>
                </c:pt>
                <c:pt idx="14">
                  <c:v>2.25</c:v>
                </c:pt>
                <c:pt idx="15">
                  <c:v>2.4</c:v>
                </c:pt>
              </c:numCache>
            </c:numRef>
          </c:xVal>
          <c:yVal>
            <c:numRef>
              <c:f>Droplet_impact!$C$7:$C$22</c:f>
              <c:numCache>
                <c:formatCode>General</c:formatCode>
                <c:ptCount val="16"/>
                <c:pt idx="0">
                  <c:v>0.4949672716453079</c:v>
                </c:pt>
                <c:pt idx="1">
                  <c:v>0.69998942849160228</c:v>
                </c:pt>
                <c:pt idx="2">
                  <c:v>0.85730846257341942</c:v>
                </c:pt>
                <c:pt idx="3">
                  <c:v>0.98993454329061581</c:v>
                </c:pt>
                <c:pt idx="4">
                  <c:v>1.1067804660365126</c:v>
                </c:pt>
                <c:pt idx="5">
                  <c:v>1.2124172549085566</c:v>
                </c:pt>
                <c:pt idx="6">
                  <c:v>1.3095603078896367</c:v>
                </c:pt>
                <c:pt idx="7">
                  <c:v>1.3999788569832046</c:v>
                </c:pt>
                <c:pt idx="8">
                  <c:v>1.4849018149359237</c:v>
                </c:pt>
                <c:pt idx="9">
                  <c:v>1.5652239456384507</c:v>
                </c:pt>
                <c:pt idx="10">
                  <c:v>1.6416207235534035</c:v>
                </c:pt>
                <c:pt idx="11">
                  <c:v>1.7146169251468388</c:v>
                </c:pt>
                <c:pt idx="12">
                  <c:v>1.7846298775936706</c:v>
                </c:pt>
                <c:pt idx="13">
                  <c:v>1.8519979481630104</c:v>
                </c:pt>
                <c:pt idx="14">
                  <c:v>1.917</c:v>
                </c:pt>
                <c:pt idx="15">
                  <c:v>1.9798690865812316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2E-4957-BCE6-523F33211DE0}"/>
            </c:ext>
          </c:extLst>
        </c:ser>
        <c:ser>
          <c:idx val="2"/>
          <c:order val="2"/>
          <c:tx>
            <c:v>SDK_2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Droplet_impact!$B$31:$B$56</c:f>
              <c:numCache>
                <c:formatCode>General</c:formatCode>
                <c:ptCount val="6"/>
                <c:pt idx="0">
                  <c:v>0.375</c:v>
                </c:pt>
                <c:pt idx="1">
                  <c:v>0.75</c:v>
                </c:pt>
                <c:pt idx="2">
                  <c:v>1.125</c:v>
                </c:pt>
                <c:pt idx="3">
                  <c:v>1.5</c:v>
                </c:pt>
                <c:pt idx="4">
                  <c:v>1.875</c:v>
                </c:pt>
                <c:pt idx="5">
                  <c:v>2.25</c:v>
                </c:pt>
              </c:numCache>
            </c:numRef>
          </c:xVal>
          <c:yVal>
            <c:numRef>
              <c:f>Droplet_impact!$H$31:$H$56</c:f>
              <c:numCache>
                <c:formatCode>General</c:formatCode>
                <c:ptCount val="6"/>
                <c:pt idx="0">
                  <c:v>0.73618749999999977</c:v>
                </c:pt>
                <c:pt idx="1">
                  <c:v>1.0874999999999999</c:v>
                </c:pt>
                <c:pt idx="2">
                  <c:v>1.35</c:v>
                </c:pt>
                <c:pt idx="3">
                  <c:v>1.56</c:v>
                </c:pt>
                <c:pt idx="4">
                  <c:v>1.7325000000000004</c:v>
                </c:pt>
                <c:pt idx="5">
                  <c:v>1.9049999999999998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32E-4957-BCE6-523F33211DE0}"/>
            </c:ext>
          </c:extLst>
        </c:ser>
        <c:ser>
          <c:idx val="3"/>
          <c:order val="3"/>
          <c:tx>
            <c:v>Kharmiani et al.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00FF"/>
              </a:solidFill>
              <a:ln w="9525">
                <a:noFill/>
              </a:ln>
              <a:effectLst/>
            </c:spPr>
          </c:marker>
          <c:xVal>
            <c:numRef>
              <c:f>Droplet_impact!$B$59:$B$65</c:f>
              <c:numCache>
                <c:formatCode>General</c:formatCode>
                <c:ptCount val="7"/>
                <c:pt idx="0">
                  <c:v>0.37874999999999998</c:v>
                </c:pt>
                <c:pt idx="1">
                  <c:v>0.67500000000000004</c:v>
                </c:pt>
                <c:pt idx="2">
                  <c:v>0.97875000000000001</c:v>
                </c:pt>
                <c:pt idx="3">
                  <c:v>1.2749999999999999</c:v>
                </c:pt>
                <c:pt idx="4">
                  <c:v>1.5825</c:v>
                </c:pt>
                <c:pt idx="5">
                  <c:v>1.875</c:v>
                </c:pt>
                <c:pt idx="6">
                  <c:v>2.1749999999999998</c:v>
                </c:pt>
              </c:numCache>
            </c:numRef>
          </c:xVal>
          <c:yVal>
            <c:numRef>
              <c:f>Droplet_impact!$C$59:$C$65</c:f>
              <c:numCache>
                <c:formatCode>General</c:formatCode>
                <c:ptCount val="7"/>
                <c:pt idx="0">
                  <c:v>0.81770833333333304</c:v>
                </c:pt>
                <c:pt idx="1">
                  <c:v>1.09375</c:v>
                </c:pt>
                <c:pt idx="2">
                  <c:v>1.3125</c:v>
                </c:pt>
                <c:pt idx="3">
                  <c:v>1.5052083333333299</c:v>
                </c:pt>
                <c:pt idx="4">
                  <c:v>1.671875</c:v>
                </c:pt>
                <c:pt idx="5">
                  <c:v>1.8333333333333299</c:v>
                </c:pt>
                <c:pt idx="6">
                  <c:v>1.9739583333333299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32E-4957-BCE6-523F33211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812752"/>
        <c:axId val="52381323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SDK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00"/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(Droplet_impact!$B$11,Droplet_impact!$B$16,Droplet_impact!$B$21)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0.75</c:v>
                      </c:pt>
                      <c:pt idx="1">
                        <c:v>1.5</c:v>
                      </c:pt>
                      <c:pt idx="2">
                        <c:v>2.25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(Droplet_impact!$H$11,Droplet_impact!$H$16,Droplet_impact!$H$21)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A32E-4957-BCE6-523F33211DE0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AERO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triangle"/>
                  <c:size val="5"/>
                  <c:spPr>
                    <a:solidFill>
                      <a:srgbClr val="00B05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Droplet_impact!$B$67:$B$73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Droplet_impact!$C$67:$C$73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32E-4957-BCE6-523F33211DE0}"/>
                  </c:ext>
                </c:extLst>
              </c15:ser>
            </c15:filteredScatterSeries>
          </c:ext>
        </c:extLst>
      </c:scatterChart>
      <c:valAx>
        <c:axId val="52381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 Unicode MS" panose="020B0604020202020204" pitchFamily="50" charset="-127"/>
                <a:ea typeface="Arial Unicode MS" panose="020B0604020202020204" pitchFamily="50" charset="-127"/>
                <a:cs typeface="Arial Unicode MS" panose="020B0604020202020204" pitchFamily="50" charset="-127"/>
              </a:defRPr>
            </a:pPr>
            <a:endParaRPr lang="en-US"/>
          </a:p>
        </c:txPr>
        <c:crossAx val="523813232"/>
        <c:crosses val="autoZero"/>
        <c:crossBetween val="midCat"/>
      </c:valAx>
      <c:valAx>
        <c:axId val="52381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Arial Unicode MS" panose="020B0604020202020204" pitchFamily="50" charset="-127"/>
                <a:cs typeface="Arial" panose="020B0604020202020204" pitchFamily="34" charset="0"/>
              </a:defRPr>
            </a:pPr>
            <a:endParaRPr lang="en-US"/>
          </a:p>
        </c:txPr>
        <c:crossAx val="5238127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100238</xdr:colOff>
      <xdr:row>5</xdr:row>
      <xdr:rowOff>71664</xdr:rowOff>
    </xdr:from>
    <xdr:to>
      <xdr:col>17</xdr:col>
      <xdr:colOff>203955</xdr:colOff>
      <xdr:row>20</xdr:row>
      <xdr:rowOff>65313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6674F68-9BED-50FA-0E5C-203E297BA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A5AE7-C0CB-4B2C-9AC2-852EE59C3579}">
  <dimension ref="A1:J65"/>
  <sheetViews>
    <sheetView tabSelected="1" zoomScaleNormal="100" workbookViewId="0">
      <selection activeCell="L31" sqref="L31"/>
    </sheetView>
  </sheetViews>
  <sheetFormatPr defaultColWidth="9.125" defaultRowHeight="17.649999999999999"/>
  <cols>
    <col min="1" max="1" width="10.625" style="1" customWidth="1"/>
    <col min="2" max="2" width="9.125" style="1"/>
    <col min="3" max="3" width="11.75" style="1" bestFit="1" customWidth="1"/>
    <col min="4" max="4" width="9.125" style="1"/>
    <col min="5" max="5" width="12.375" style="1" bestFit="1" customWidth="1"/>
    <col min="6" max="7" width="9.125" style="1"/>
    <col min="8" max="8" width="10.875" style="1" customWidth="1"/>
    <col min="9" max="16384" width="9.125" style="1"/>
  </cols>
  <sheetData>
    <row r="1" spans="1:4">
      <c r="A1" s="1" t="s">
        <v>0</v>
      </c>
      <c r="B1" s="1">
        <v>80</v>
      </c>
    </row>
    <row r="2" spans="1:4">
      <c r="A2" s="1" t="s">
        <v>1</v>
      </c>
      <c r="B2" s="1">
        <v>20</v>
      </c>
    </row>
    <row r="3" spans="1:4">
      <c r="A3" s="1" t="s">
        <v>2</v>
      </c>
      <c r="B3" s="1">
        <v>0.12</v>
      </c>
      <c r="D3" s="2"/>
    </row>
    <row r="4" spans="1:4">
      <c r="D4" s="2"/>
    </row>
    <row r="5" spans="1:4">
      <c r="A5" s="1" t="s">
        <v>3</v>
      </c>
      <c r="B5" s="1" t="s">
        <v>4</v>
      </c>
      <c r="C5" s="3" t="s">
        <v>5</v>
      </c>
    </row>
    <row r="6" spans="1:4">
      <c r="A6" s="1">
        <v>0</v>
      </c>
      <c r="B6" s="1">
        <f>A6*$B$3/$B$1</f>
        <v>0</v>
      </c>
      <c r="C6" s="1">
        <f>1.278*POWER(B6, 0.5)</f>
        <v>0</v>
      </c>
    </row>
    <row r="7" spans="1:4">
      <c r="A7" s="1">
        <v>100</v>
      </c>
      <c r="B7" s="1">
        <f>A7*$B$3/$B$1</f>
        <v>0.15</v>
      </c>
      <c r="C7" s="1">
        <f t="shared" ref="C7:C22" si="0">1.278*POWER(B7, 0.5)</f>
        <v>0.4949672716453079</v>
      </c>
    </row>
    <row r="8" spans="1:4">
      <c r="A8" s="1">
        <v>200</v>
      </c>
      <c r="B8" s="1">
        <f>A8*$B$3/$B$1</f>
        <v>0.3</v>
      </c>
      <c r="C8" s="1">
        <f t="shared" si="0"/>
        <v>0.69998942849160228</v>
      </c>
    </row>
    <row r="9" spans="1:4">
      <c r="A9" s="1">
        <v>300</v>
      </c>
      <c r="B9" s="1">
        <f>A9*$B$3/$B$1</f>
        <v>0.45</v>
      </c>
      <c r="C9" s="1">
        <f t="shared" si="0"/>
        <v>0.85730846257341942</v>
      </c>
    </row>
    <row r="10" spans="1:4">
      <c r="A10" s="1">
        <v>400</v>
      </c>
      <c r="B10" s="1">
        <f>A10*$B$3/$B$1</f>
        <v>0.6</v>
      </c>
      <c r="C10" s="1">
        <f t="shared" si="0"/>
        <v>0.98993454329061581</v>
      </c>
    </row>
    <row r="11" spans="1:4">
      <c r="A11" s="1">
        <v>500</v>
      </c>
      <c r="B11" s="1">
        <f>A11*$B$3/$B$1</f>
        <v>0.75</v>
      </c>
      <c r="C11" s="1">
        <f t="shared" si="0"/>
        <v>1.1067804660365126</v>
      </c>
    </row>
    <row r="12" spans="1:4">
      <c r="A12" s="1">
        <v>600</v>
      </c>
      <c r="B12" s="1">
        <f>A12*$B$3/$B$1</f>
        <v>0.9</v>
      </c>
      <c r="C12" s="1">
        <f t="shared" si="0"/>
        <v>1.2124172549085566</v>
      </c>
    </row>
    <row r="13" spans="1:4">
      <c r="A13" s="1">
        <v>700</v>
      </c>
      <c r="B13" s="1">
        <f>A13*$B$3/$B$1</f>
        <v>1.05</v>
      </c>
      <c r="C13" s="1">
        <f t="shared" si="0"/>
        <v>1.3095603078896367</v>
      </c>
    </row>
    <row r="14" spans="1:4">
      <c r="A14" s="1">
        <v>800</v>
      </c>
      <c r="B14" s="1">
        <f>A14*$B$3/$B$1</f>
        <v>1.2</v>
      </c>
      <c r="C14" s="1">
        <f t="shared" si="0"/>
        <v>1.3999788569832046</v>
      </c>
    </row>
    <row r="15" spans="1:4">
      <c r="A15" s="1">
        <v>900</v>
      </c>
      <c r="B15" s="1">
        <f>A15*$B$3/$B$1</f>
        <v>1.35</v>
      </c>
      <c r="C15" s="1">
        <f t="shared" si="0"/>
        <v>1.4849018149359237</v>
      </c>
    </row>
    <row r="16" spans="1:4">
      <c r="A16" s="1">
        <v>1000</v>
      </c>
      <c r="B16" s="1">
        <f>A16*$B$3/$B$1</f>
        <v>1.5</v>
      </c>
      <c r="C16" s="1">
        <f t="shared" si="0"/>
        <v>1.5652239456384507</v>
      </c>
    </row>
    <row r="17" spans="1:10">
      <c r="A17" s="1">
        <v>1100</v>
      </c>
      <c r="B17" s="1">
        <f>A17*$B$3/$B$1</f>
        <v>1.65</v>
      </c>
      <c r="C17" s="1">
        <f t="shared" si="0"/>
        <v>1.6416207235534035</v>
      </c>
    </row>
    <row r="18" spans="1:10">
      <c r="A18" s="1">
        <v>1200</v>
      </c>
      <c r="B18" s="1">
        <f>A18*$B$3/$B$1</f>
        <v>1.8</v>
      </c>
      <c r="C18" s="1">
        <f t="shared" si="0"/>
        <v>1.7146169251468388</v>
      </c>
    </row>
    <row r="19" spans="1:10">
      <c r="A19" s="1">
        <v>1300</v>
      </c>
      <c r="B19" s="1">
        <f>A19*$B$3/$B$1</f>
        <v>1.95</v>
      </c>
      <c r="C19" s="1">
        <f t="shared" si="0"/>
        <v>1.7846298775936706</v>
      </c>
    </row>
    <row r="20" spans="1:10">
      <c r="A20" s="1">
        <v>1400</v>
      </c>
      <c r="B20" s="1">
        <f>A20*$B$3/$B$1</f>
        <v>2.1</v>
      </c>
      <c r="C20" s="1">
        <f t="shared" si="0"/>
        <v>1.8519979481630104</v>
      </c>
    </row>
    <row r="21" spans="1:10">
      <c r="A21" s="1">
        <v>1500</v>
      </c>
      <c r="B21" s="1">
        <f>A21*$B$3/$B$1</f>
        <v>2.25</v>
      </c>
      <c r="C21" s="1">
        <f t="shared" si="0"/>
        <v>1.917</v>
      </c>
    </row>
    <row r="22" spans="1:10">
      <c r="A22" s="1">
        <v>1600</v>
      </c>
      <c r="B22" s="1">
        <f>A22*$B$3/$B$1</f>
        <v>2.4</v>
      </c>
      <c r="C22" s="1">
        <f t="shared" si="0"/>
        <v>1.9798690865812316</v>
      </c>
    </row>
    <row r="24" spans="1:10" ht="35.1">
      <c r="A24" s="1" t="s">
        <v>6</v>
      </c>
      <c r="D24" s="1" t="s">
        <v>7</v>
      </c>
      <c r="E24" s="1" t="s">
        <v>8</v>
      </c>
      <c r="G24" s="1" t="s">
        <v>9</v>
      </c>
      <c r="H24" s="1" t="s">
        <v>10</v>
      </c>
      <c r="J24" s="1" t="s">
        <v>11</v>
      </c>
    </row>
    <row r="25" spans="1:10" ht="35.1">
      <c r="A25" s="1" t="s">
        <v>3</v>
      </c>
      <c r="B25" s="1" t="s">
        <v>4</v>
      </c>
      <c r="C25" s="1" t="s">
        <v>12</v>
      </c>
      <c r="D25" s="1" t="s">
        <v>13</v>
      </c>
      <c r="E25" s="1" t="s">
        <v>14</v>
      </c>
      <c r="F25" s="1" t="s">
        <v>15</v>
      </c>
      <c r="G25" s="1" t="s">
        <v>16</v>
      </c>
      <c r="H25" s="3" t="s">
        <v>17</v>
      </c>
      <c r="I25" s="1" t="s">
        <v>18</v>
      </c>
      <c r="J25" s="3" t="s">
        <v>19</v>
      </c>
    </row>
    <row r="26" spans="1:10" hidden="1">
      <c r="A26" s="1">
        <v>0</v>
      </c>
      <c r="B26" s="1">
        <f>A26*$B$3/$B$1</f>
        <v>0</v>
      </c>
      <c r="C26" s="1">
        <f>1.278*POWER(B26, 0.5)</f>
        <v>0</v>
      </c>
      <c r="F26" s="1">
        <f t="shared" ref="F26:F40" si="1">(D26+E26)*0.5</f>
        <v>0</v>
      </c>
      <c r="H26" s="1">
        <f>(G26-300)/80</f>
        <v>-3.75</v>
      </c>
    </row>
    <row r="27" spans="1:10" hidden="1">
      <c r="A27" s="1">
        <v>50</v>
      </c>
      <c r="B27" s="1">
        <f>A27*$B$3/$B$1</f>
        <v>7.4999999999999997E-2</v>
      </c>
      <c r="C27" s="1">
        <f t="shared" ref="C27:C56" si="2">1.278*POWER(B27, 0.5)</f>
        <v>0.34999471424580114</v>
      </c>
      <c r="F27" s="1">
        <f t="shared" si="1"/>
        <v>0</v>
      </c>
      <c r="H27" s="1">
        <f>(G27-300)/80</f>
        <v>-3.75</v>
      </c>
    </row>
    <row r="28" spans="1:10" hidden="1">
      <c r="A28" s="1">
        <v>100</v>
      </c>
      <c r="B28" s="1">
        <f>A28*$B$3/$B$1</f>
        <v>0.15</v>
      </c>
      <c r="C28" s="1">
        <f t="shared" si="2"/>
        <v>0.4949672716453079</v>
      </c>
      <c r="F28" s="1">
        <f t="shared" si="1"/>
        <v>0</v>
      </c>
      <c r="H28" s="1">
        <f>(G28-300)/80</f>
        <v>-3.75</v>
      </c>
    </row>
    <row r="29" spans="1:10" hidden="1">
      <c r="A29" s="1">
        <v>150</v>
      </c>
      <c r="B29" s="1">
        <f>A29*$B$3/$B$1</f>
        <v>0.22500000000000001</v>
      </c>
      <c r="C29" s="1">
        <f t="shared" si="2"/>
        <v>0.60620862745427828</v>
      </c>
      <c r="F29" s="1">
        <f t="shared" si="1"/>
        <v>0</v>
      </c>
      <c r="H29" s="1">
        <f>(G29-300)/80</f>
        <v>-3.75</v>
      </c>
    </row>
    <row r="30" spans="1:10" hidden="1">
      <c r="A30" s="1">
        <v>200</v>
      </c>
      <c r="B30" s="1">
        <f>A30*$B$3/$B$1</f>
        <v>0.3</v>
      </c>
      <c r="C30" s="1">
        <f t="shared" si="2"/>
        <v>0.69998942849160228</v>
      </c>
      <c r="F30" s="1">
        <f t="shared" si="1"/>
        <v>0</v>
      </c>
      <c r="H30" s="1">
        <f>(G30-300)/80</f>
        <v>-3.75</v>
      </c>
    </row>
    <row r="31" spans="1:10">
      <c r="A31" s="3">
        <v>250</v>
      </c>
      <c r="B31" s="1">
        <f>A31*$B$3/$B$1</f>
        <v>0.375</v>
      </c>
      <c r="C31" s="1">
        <f>1.278*POWER(B31, 0.5)</f>
        <v>0.78261197281922534</v>
      </c>
      <c r="D31" s="1">
        <v>34.08</v>
      </c>
      <c r="E31" s="1">
        <v>20</v>
      </c>
      <c r="F31" s="1">
        <f>(D31+E31)*0.5</f>
        <v>27.04</v>
      </c>
      <c r="G31" s="1">
        <v>358.89499999999998</v>
      </c>
      <c r="H31" s="1">
        <f>(G31-300)/80</f>
        <v>0.73618749999999977</v>
      </c>
      <c r="I31" s="1">
        <f>ABS(C31-H31)/H31</f>
        <v>6.3060664326989507E-2</v>
      </c>
      <c r="J31" s="1">
        <f>(1-I31)*100</f>
        <v>93.693933567301045</v>
      </c>
    </row>
    <row r="32" spans="1:10" hidden="1">
      <c r="A32" s="1">
        <v>300</v>
      </c>
      <c r="B32" s="1">
        <f>A32*$B$3/$B$1</f>
        <v>0.45</v>
      </c>
      <c r="C32" s="1">
        <f t="shared" si="2"/>
        <v>0.85730846257341942</v>
      </c>
      <c r="E32" s="1">
        <v>20</v>
      </c>
      <c r="F32" s="1">
        <f t="shared" si="1"/>
        <v>10</v>
      </c>
      <c r="H32" s="1">
        <f>(G32-300)/80</f>
        <v>-3.75</v>
      </c>
      <c r="I32" s="1">
        <f>ABS(C32-H32)/H32</f>
        <v>-1.2286155900195785</v>
      </c>
      <c r="J32" s="1">
        <f t="shared" ref="J32:J56" si="3">(1-I32)*100</f>
        <v>222.86155900195786</v>
      </c>
    </row>
    <row r="33" spans="1:10" hidden="1">
      <c r="A33" s="1">
        <v>350</v>
      </c>
      <c r="B33" s="1">
        <f>A33*$B$3/$B$1</f>
        <v>0.52500000000000002</v>
      </c>
      <c r="C33" s="1">
        <f t="shared" si="2"/>
        <v>0.92599897408150522</v>
      </c>
      <c r="E33" s="1">
        <v>20</v>
      </c>
      <c r="F33" s="1">
        <f t="shared" si="1"/>
        <v>10</v>
      </c>
      <c r="H33" s="1">
        <f>(G33-300)/80</f>
        <v>-3.75</v>
      </c>
      <c r="I33" s="1">
        <f>ABS(C33-H33)/H33</f>
        <v>-1.2469330597550681</v>
      </c>
      <c r="J33" s="1">
        <f t="shared" si="3"/>
        <v>224.69330597550677</v>
      </c>
    </row>
    <row r="34" spans="1:10" hidden="1">
      <c r="A34" s="1">
        <v>400</v>
      </c>
      <c r="B34" s="1">
        <f>A34*$B$3/$B$1</f>
        <v>0.6</v>
      </c>
      <c r="C34" s="1">
        <f t="shared" si="2"/>
        <v>0.98993454329061581</v>
      </c>
      <c r="E34" s="1">
        <v>20</v>
      </c>
      <c r="F34" s="1">
        <f t="shared" si="1"/>
        <v>10</v>
      </c>
      <c r="H34" s="1">
        <f>(G34-300)/80</f>
        <v>-3.75</v>
      </c>
      <c r="I34" s="1">
        <f>ABS(C34-H34)/H34</f>
        <v>-1.2639825448774975</v>
      </c>
      <c r="J34" s="1">
        <f t="shared" si="3"/>
        <v>226.39825448774974</v>
      </c>
    </row>
    <row r="35" spans="1:10" hidden="1">
      <c r="A35" s="1">
        <v>450</v>
      </c>
      <c r="B35" s="1">
        <f>A35*$B$3/$B$1</f>
        <v>0.67500000000000004</v>
      </c>
      <c r="C35" s="1">
        <f t="shared" si="2"/>
        <v>1.0499841427374035</v>
      </c>
      <c r="E35" s="1">
        <v>20</v>
      </c>
      <c r="F35" s="1">
        <f t="shared" si="1"/>
        <v>10</v>
      </c>
      <c r="H35" s="1">
        <f>(G35-300)/80</f>
        <v>-3.75</v>
      </c>
      <c r="I35" s="1">
        <f>ABS(C35-H35)/H35</f>
        <v>-1.279995771396641</v>
      </c>
      <c r="J35" s="1">
        <f t="shared" si="3"/>
        <v>227.99957713966413</v>
      </c>
    </row>
    <row r="36" spans="1:10">
      <c r="A36" s="3">
        <v>500</v>
      </c>
      <c r="B36" s="1">
        <f>A36*$B$3/$B$1</f>
        <v>0.75</v>
      </c>
      <c r="C36" s="1">
        <f t="shared" si="2"/>
        <v>1.1067804660365126</v>
      </c>
      <c r="D36" s="1">
        <v>61.225999999999999</v>
      </c>
      <c r="E36" s="1">
        <v>20</v>
      </c>
      <c r="F36" s="1">
        <f>(D36+E36)*0.5</f>
        <v>40.613</v>
      </c>
      <c r="G36" s="1">
        <v>387</v>
      </c>
      <c r="H36" s="1">
        <f>(G36-300)/80</f>
        <v>1.0874999999999999</v>
      </c>
      <c r="I36" s="1">
        <f>ABS(C36-H36)/H36</f>
        <v>1.7729164171505912E-2</v>
      </c>
      <c r="J36" s="1">
        <f t="shared" si="3"/>
        <v>98.227083582849403</v>
      </c>
    </row>
    <row r="37" spans="1:10" hidden="1">
      <c r="A37" s="1">
        <v>550</v>
      </c>
      <c r="B37" s="1">
        <f>A37*$B$3/$B$1</f>
        <v>0.82499999999999996</v>
      </c>
      <c r="C37" s="1">
        <f t="shared" si="2"/>
        <v>1.1608011457609784</v>
      </c>
      <c r="E37" s="1">
        <v>20</v>
      </c>
      <c r="F37" s="1">
        <f t="shared" si="1"/>
        <v>10</v>
      </c>
      <c r="H37" s="1">
        <f>(G37-300)/80</f>
        <v>-3.75</v>
      </c>
      <c r="I37" s="1">
        <f>ABS(C37-H37)/H37</f>
        <v>-1.3095469722029276</v>
      </c>
      <c r="J37" s="1">
        <f t="shared" si="3"/>
        <v>230.95469722029276</v>
      </c>
    </row>
    <row r="38" spans="1:10" hidden="1">
      <c r="A38" s="1">
        <v>600</v>
      </c>
      <c r="B38" s="1">
        <f>A38*$B$3/$B$1</f>
        <v>0.9</v>
      </c>
      <c r="C38" s="1">
        <f t="shared" si="2"/>
        <v>1.2124172549085566</v>
      </c>
      <c r="E38" s="1">
        <v>20</v>
      </c>
      <c r="F38" s="1">
        <f t="shared" si="1"/>
        <v>10</v>
      </c>
      <c r="H38" s="1">
        <f>(G38-300)/80</f>
        <v>-3.75</v>
      </c>
      <c r="I38" s="1">
        <f>ABS(C38-H38)/H38</f>
        <v>-1.3233112679756152</v>
      </c>
      <c r="J38" s="1">
        <f t="shared" si="3"/>
        <v>232.33112679756152</v>
      </c>
    </row>
    <row r="39" spans="1:10" hidden="1">
      <c r="A39" s="1">
        <v>650</v>
      </c>
      <c r="B39" s="1">
        <f>A39*$B$3/$B$1</f>
        <v>0.97499999999999998</v>
      </c>
      <c r="C39" s="1">
        <f t="shared" si="2"/>
        <v>1.2619238883546027</v>
      </c>
      <c r="E39" s="1">
        <v>20</v>
      </c>
      <c r="F39" s="1">
        <f t="shared" si="1"/>
        <v>10</v>
      </c>
      <c r="H39" s="1">
        <f>(G39-300)/80</f>
        <v>-3.75</v>
      </c>
      <c r="I39" s="1">
        <f>ABS(C39-H39)/H39</f>
        <v>-1.3365130368945608</v>
      </c>
      <c r="J39" s="1">
        <f t="shared" si="3"/>
        <v>233.65130368945609</v>
      </c>
    </row>
    <row r="40" spans="1:10" hidden="1">
      <c r="A40" s="1">
        <v>700</v>
      </c>
      <c r="B40" s="1">
        <f>A40*$B$3/$B$1</f>
        <v>1.05</v>
      </c>
      <c r="C40" s="1">
        <f t="shared" si="2"/>
        <v>1.3095603078896367</v>
      </c>
      <c r="E40" s="1">
        <v>20</v>
      </c>
      <c r="F40" s="1">
        <f t="shared" si="1"/>
        <v>10</v>
      </c>
      <c r="H40" s="1">
        <f>(G40-300)/80</f>
        <v>-3.75</v>
      </c>
      <c r="I40" s="1">
        <f>ABS(C40-H40)/H40</f>
        <v>-1.3492160821039032</v>
      </c>
      <c r="J40" s="1">
        <f t="shared" si="3"/>
        <v>234.92160821039033</v>
      </c>
    </row>
    <row r="41" spans="1:10">
      <c r="A41" s="3">
        <v>750</v>
      </c>
      <c r="B41" s="1">
        <f>A41*$B$3/$B$1</f>
        <v>1.125</v>
      </c>
      <c r="C41" s="1">
        <f t="shared" si="2"/>
        <v>1.3555236995346116</v>
      </c>
      <c r="D41" s="1">
        <v>83.666799999999995</v>
      </c>
      <c r="E41" s="1">
        <v>20</v>
      </c>
      <c r="F41" s="1">
        <f>(D41+E41)*0.5</f>
        <v>51.833399999999997</v>
      </c>
      <c r="G41" s="1">
        <v>408</v>
      </c>
      <c r="H41" s="1">
        <f>(G41-300)/80</f>
        <v>1.35</v>
      </c>
      <c r="I41" s="1">
        <f>ABS(C41-H41)/H41</f>
        <v>4.0916292848974184E-3</v>
      </c>
      <c r="J41" s="1">
        <f t="shared" si="3"/>
        <v>99.590837071510265</v>
      </c>
    </row>
    <row r="42" spans="1:10" hidden="1">
      <c r="A42" s="1">
        <v>800</v>
      </c>
      <c r="B42" s="1">
        <f>A42*$B$3/$B$1</f>
        <v>1.2</v>
      </c>
      <c r="C42" s="1">
        <f t="shared" si="2"/>
        <v>1.3999788569832046</v>
      </c>
      <c r="E42" s="1">
        <v>20</v>
      </c>
      <c r="F42" s="1">
        <f t="shared" ref="F42:F56" si="4">(D42+E42)*0.5</f>
        <v>10</v>
      </c>
      <c r="H42" s="1">
        <f t="shared" ref="H42:H55" si="5">(G42-300)/80</f>
        <v>-3.75</v>
      </c>
      <c r="I42" s="1">
        <f>ABS(C42-H42)/H42</f>
        <v>-1.3733276951955211</v>
      </c>
      <c r="J42" s="1">
        <f t="shared" si="3"/>
        <v>237.33276951955213</v>
      </c>
    </row>
    <row r="43" spans="1:10" hidden="1">
      <c r="A43" s="1">
        <v>850</v>
      </c>
      <c r="B43" s="1">
        <f>A43*$B$3/$B$1</f>
        <v>1.2749999999999999</v>
      </c>
      <c r="C43" s="1">
        <f t="shared" si="2"/>
        <v>1.4430651752433081</v>
      </c>
      <c r="E43" s="1">
        <v>20</v>
      </c>
      <c r="F43" s="1">
        <f t="shared" si="4"/>
        <v>10</v>
      </c>
      <c r="H43" s="1">
        <f t="shared" si="5"/>
        <v>-3.75</v>
      </c>
      <c r="I43" s="1">
        <f>ABS(C43-H43)/H43</f>
        <v>-1.3848173800648822</v>
      </c>
      <c r="J43" s="1">
        <f t="shared" si="3"/>
        <v>238.48173800648823</v>
      </c>
    </row>
    <row r="44" spans="1:10" hidden="1">
      <c r="A44" s="1">
        <v>900</v>
      </c>
      <c r="B44" s="1">
        <f>A44*$B$3/$B$1</f>
        <v>1.35</v>
      </c>
      <c r="C44" s="1">
        <f t="shared" si="2"/>
        <v>1.4849018149359237</v>
      </c>
      <c r="E44" s="1">
        <v>20</v>
      </c>
      <c r="F44" s="1">
        <f t="shared" si="4"/>
        <v>10</v>
      </c>
      <c r="H44" s="1">
        <f t="shared" si="5"/>
        <v>-3.75</v>
      </c>
      <c r="I44" s="1">
        <f>ABS(C44-H44)/H44</f>
        <v>-1.3959738173162464</v>
      </c>
      <c r="J44" s="1">
        <f t="shared" si="3"/>
        <v>239.59738173162464</v>
      </c>
    </row>
    <row r="45" spans="1:10" hidden="1">
      <c r="A45" s="1">
        <v>950</v>
      </c>
      <c r="B45" s="1">
        <f>A45*$B$3/$B$1</f>
        <v>1.425</v>
      </c>
      <c r="C45" s="1">
        <f t="shared" si="2"/>
        <v>1.5255915901708426</v>
      </c>
      <c r="E45" s="1">
        <v>20</v>
      </c>
      <c r="F45" s="1">
        <f t="shared" si="4"/>
        <v>10</v>
      </c>
      <c r="H45" s="1">
        <f t="shared" si="5"/>
        <v>-3.75</v>
      </c>
      <c r="I45" s="1">
        <f>ABS(C45-H45)/H45</f>
        <v>-1.4068244240455579</v>
      </c>
      <c r="J45" s="1">
        <f t="shared" si="3"/>
        <v>240.68244240455581</v>
      </c>
    </row>
    <row r="46" spans="1:10">
      <c r="A46" s="3">
        <v>1000</v>
      </c>
      <c r="B46" s="1">
        <f>A46*$B$3/$B$1</f>
        <v>1.5</v>
      </c>
      <c r="C46" s="1">
        <f t="shared" si="2"/>
        <v>1.5652239456384507</v>
      </c>
      <c r="D46" s="1">
        <v>98.878900000000002</v>
      </c>
      <c r="E46" s="1">
        <v>20</v>
      </c>
      <c r="F46" s="1">
        <f t="shared" si="4"/>
        <v>59.439450000000001</v>
      </c>
      <c r="G46" s="1">
        <v>424.8</v>
      </c>
      <c r="H46" s="1">
        <f t="shared" si="5"/>
        <v>1.56</v>
      </c>
      <c r="I46" s="1">
        <f>ABS(C46-H46)/H46</f>
        <v>3.3486831015709186E-3</v>
      </c>
      <c r="J46" s="1">
        <f t="shared" si="3"/>
        <v>99.665131689842909</v>
      </c>
    </row>
    <row r="47" spans="1:10" hidden="1">
      <c r="A47" s="1">
        <v>1050</v>
      </c>
      <c r="B47" s="1">
        <f>A47*$B$3/$B$1</f>
        <v>1.575</v>
      </c>
      <c r="C47" s="1">
        <f t="shared" si="2"/>
        <v>1.6038772708658229</v>
      </c>
      <c r="E47" s="1">
        <v>20</v>
      </c>
      <c r="F47" s="1">
        <f t="shared" si="4"/>
        <v>10</v>
      </c>
      <c r="H47" s="1">
        <f t="shared" si="5"/>
        <v>-3.75</v>
      </c>
      <c r="I47" s="1">
        <f>ABS(C47-H47)/H47</f>
        <v>-1.4277006055642194</v>
      </c>
      <c r="J47" s="1">
        <f t="shared" si="3"/>
        <v>242.77006055642195</v>
      </c>
    </row>
    <row r="48" spans="1:10" hidden="1">
      <c r="A48" s="1">
        <v>1100</v>
      </c>
      <c r="B48" s="1">
        <f>A48*$B$3/$B$1</f>
        <v>1.65</v>
      </c>
      <c r="C48" s="1">
        <f t="shared" si="2"/>
        <v>1.6416207235534035</v>
      </c>
      <c r="E48" s="1">
        <v>20</v>
      </c>
      <c r="F48" s="1">
        <f t="shared" si="4"/>
        <v>10</v>
      </c>
      <c r="H48" s="1">
        <f t="shared" si="5"/>
        <v>-3.75</v>
      </c>
      <c r="I48" s="1">
        <f>ABS(C48-H48)/H48</f>
        <v>-1.4377655262809077</v>
      </c>
      <c r="J48" s="1">
        <f t="shared" si="3"/>
        <v>243.77655262809074</v>
      </c>
    </row>
    <row r="49" spans="1:10" hidden="1">
      <c r="A49" s="1">
        <v>1150</v>
      </c>
      <c r="B49" s="1">
        <f>A49*$B$3/$B$1</f>
        <v>1.7250000000000001</v>
      </c>
      <c r="C49" s="1">
        <f t="shared" si="2"/>
        <v>1.6785156835728405</v>
      </c>
      <c r="E49" s="1">
        <v>20</v>
      </c>
      <c r="F49" s="1">
        <f t="shared" si="4"/>
        <v>10</v>
      </c>
      <c r="H49" s="1">
        <f t="shared" si="5"/>
        <v>-3.75</v>
      </c>
      <c r="I49" s="1">
        <f>ABS(C49-H49)/H49</f>
        <v>-1.4476041822860908</v>
      </c>
      <c r="J49" s="1">
        <f t="shared" si="3"/>
        <v>244.76041822860907</v>
      </c>
    </row>
    <row r="50" spans="1:10" hidden="1">
      <c r="A50" s="1">
        <v>1200</v>
      </c>
      <c r="B50" s="1">
        <f>A50*$B$3/$B$1</f>
        <v>1.8</v>
      </c>
      <c r="C50" s="1">
        <f t="shared" si="2"/>
        <v>1.7146169251468388</v>
      </c>
      <c r="E50" s="1">
        <v>20</v>
      </c>
      <c r="F50" s="1">
        <f t="shared" si="4"/>
        <v>10</v>
      </c>
      <c r="H50" s="1">
        <f t="shared" si="5"/>
        <v>-3.75</v>
      </c>
      <c r="I50" s="1">
        <f>ABS(C50-H50)/H50</f>
        <v>-1.4572311800391569</v>
      </c>
      <c r="J50" s="1">
        <f t="shared" si="3"/>
        <v>245.72311800391572</v>
      </c>
    </row>
    <row r="51" spans="1:10">
      <c r="A51" s="3">
        <v>1250</v>
      </c>
      <c r="B51" s="1">
        <f>A51*$B$3/$B$1</f>
        <v>1.875</v>
      </c>
      <c r="C51" s="1">
        <f t="shared" si="2"/>
        <v>1.7499735712290059</v>
      </c>
      <c r="D51" s="1">
        <v>109.845</v>
      </c>
      <c r="E51" s="1">
        <v>20</v>
      </c>
      <c r="F51" s="1">
        <f t="shared" si="4"/>
        <v>64.922499999999999</v>
      </c>
      <c r="G51" s="1">
        <v>438.6</v>
      </c>
      <c r="H51" s="1">
        <f t="shared" si="5"/>
        <v>1.7325000000000004</v>
      </c>
      <c r="I51" s="1">
        <f>ABS(C51-H51)/H51</f>
        <v>1.0085755399137373E-2</v>
      </c>
      <c r="J51" s="1">
        <f t="shared" si="3"/>
        <v>98.991424460086265</v>
      </c>
    </row>
    <row r="52" spans="1:10" hidden="1">
      <c r="A52" s="1">
        <v>1300</v>
      </c>
      <c r="B52" s="1">
        <f>A52*$B$3/$B$1</f>
        <v>1.95</v>
      </c>
      <c r="C52" s="1">
        <f t="shared" si="2"/>
        <v>1.7846298775936706</v>
      </c>
      <c r="E52" s="1">
        <v>20</v>
      </c>
      <c r="F52" s="1">
        <f t="shared" si="4"/>
        <v>10</v>
      </c>
      <c r="H52" s="1">
        <f t="shared" si="5"/>
        <v>-3.75</v>
      </c>
      <c r="I52" s="1">
        <f>ABS(C52-H52)/H52</f>
        <v>-1.4759013006916455</v>
      </c>
      <c r="J52" s="1">
        <f t="shared" si="3"/>
        <v>247.59013006916453</v>
      </c>
    </row>
    <row r="53" spans="1:10" hidden="1">
      <c r="A53" s="1">
        <v>1350</v>
      </c>
      <c r="B53" s="1">
        <f>A53*$B$3/$B$1</f>
        <v>2.0249999999999999</v>
      </c>
      <c r="C53" s="1">
        <f t="shared" si="2"/>
        <v>1.8186258823628352</v>
      </c>
      <c r="E53" s="1">
        <v>20</v>
      </c>
      <c r="F53" s="1">
        <f t="shared" si="4"/>
        <v>10</v>
      </c>
      <c r="H53" s="1">
        <f t="shared" si="5"/>
        <v>-3.75</v>
      </c>
      <c r="I53" s="1">
        <f>ABS(C53-H53)/H53</f>
        <v>-1.4849669019634226</v>
      </c>
      <c r="J53" s="1">
        <f t="shared" si="3"/>
        <v>248.49669019634226</v>
      </c>
    </row>
    <row r="54" spans="1:10" hidden="1">
      <c r="A54" s="1">
        <v>1400</v>
      </c>
      <c r="B54" s="1">
        <f>A54*$B$3/$B$1</f>
        <v>2.1</v>
      </c>
      <c r="C54" s="1">
        <f t="shared" si="2"/>
        <v>1.8519979481630104</v>
      </c>
      <c r="E54" s="1">
        <v>20</v>
      </c>
      <c r="F54" s="1">
        <f t="shared" si="4"/>
        <v>10</v>
      </c>
      <c r="H54" s="1">
        <f t="shared" si="5"/>
        <v>-3.75</v>
      </c>
      <c r="I54" s="1">
        <f>ABS(C54-H54)/H54</f>
        <v>-1.4938661195101361</v>
      </c>
      <c r="J54" s="1">
        <f t="shared" si="3"/>
        <v>249.38661195101361</v>
      </c>
    </row>
    <row r="55" spans="1:10" hidden="1">
      <c r="A55" s="1">
        <v>1450</v>
      </c>
      <c r="B55" s="1">
        <f>A55*$B$3/$B$1</f>
        <v>2.1749999999999998</v>
      </c>
      <c r="C55" s="1">
        <f t="shared" si="2"/>
        <v>1.8847792178395855</v>
      </c>
      <c r="E55" s="1">
        <v>20</v>
      </c>
      <c r="F55" s="1">
        <f t="shared" si="4"/>
        <v>10</v>
      </c>
      <c r="H55" s="1">
        <f t="shared" si="5"/>
        <v>-3.75</v>
      </c>
      <c r="I55" s="1">
        <f>ABS(C55-H55)/H55</f>
        <v>-1.5026077914238896</v>
      </c>
      <c r="J55" s="1">
        <f t="shared" si="3"/>
        <v>250.26077914238894</v>
      </c>
    </row>
    <row r="56" spans="1:10">
      <c r="A56" s="3">
        <v>1500</v>
      </c>
      <c r="B56" s="1">
        <f>A56*$B$3/$B$1</f>
        <v>2.25</v>
      </c>
      <c r="C56" s="1">
        <f t="shared" si="2"/>
        <v>1.917</v>
      </c>
      <c r="D56" s="1">
        <v>119</v>
      </c>
      <c r="E56" s="1">
        <v>20</v>
      </c>
      <c r="F56" s="1">
        <f t="shared" si="4"/>
        <v>69.5</v>
      </c>
      <c r="G56" s="1">
        <v>452.4</v>
      </c>
      <c r="H56" s="1">
        <f>(G56-300)/80</f>
        <v>1.9049999999999998</v>
      </c>
      <c r="I56" s="1">
        <f>ABS(C56-H56)/H56</f>
        <v>6.2992125984253199E-3</v>
      </c>
      <c r="J56" s="1">
        <f t="shared" si="3"/>
        <v>99.370078740157467</v>
      </c>
    </row>
    <row r="58" spans="1:10" ht="35.1">
      <c r="B58" s="1" t="s">
        <v>20</v>
      </c>
      <c r="C58" s="1" t="s">
        <v>21</v>
      </c>
    </row>
    <row r="59" spans="1:10">
      <c r="B59" s="1">
        <v>0.37874999999999998</v>
      </c>
      <c r="C59" s="1">
        <v>0.81770833333333304</v>
      </c>
    </row>
    <row r="60" spans="1:10">
      <c r="B60" s="1">
        <v>0.67500000000000004</v>
      </c>
      <c r="C60" s="1">
        <v>1.09375</v>
      </c>
    </row>
    <row r="61" spans="1:10">
      <c r="B61" s="1">
        <v>0.97875000000000001</v>
      </c>
      <c r="C61" s="1">
        <v>1.3125</v>
      </c>
    </row>
    <row r="62" spans="1:10">
      <c r="B62" s="1">
        <v>1.2749999999999999</v>
      </c>
      <c r="C62" s="1">
        <v>1.5052083333333299</v>
      </c>
    </row>
    <row r="63" spans="1:10">
      <c r="B63" s="1">
        <v>1.5825</v>
      </c>
      <c r="C63" s="1">
        <v>1.671875</v>
      </c>
    </row>
    <row r="64" spans="1:10">
      <c r="B64" s="1">
        <v>1.875</v>
      </c>
      <c r="C64" s="1">
        <v>1.8333333333333299</v>
      </c>
    </row>
    <row r="65" spans="2:3">
      <c r="B65" s="1">
        <v>2.1749999999999998</v>
      </c>
      <c r="C65" s="1">
        <v>1.9739583333333299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365B9714281FD4483C01F42802E8EB7" ma:contentTypeVersion="6" ma:contentTypeDescription="새 문서를 만듭니다." ma:contentTypeScope="" ma:versionID="fc6325f5c8280c22d3344df9a6e8a59d">
  <xsd:schema xmlns:xsd="http://www.w3.org/2001/XMLSchema" xmlns:xs="http://www.w3.org/2001/XMLSchema" xmlns:p="http://schemas.microsoft.com/office/2006/metadata/properties" xmlns:ns2="511bda16-106b-4bf9-ab62-74201c64ce91" xmlns:ns3="b1729ce5-bd82-49f5-ab74-c5988a195dc0" targetNamespace="http://schemas.microsoft.com/office/2006/metadata/properties" ma:root="true" ma:fieldsID="efbe280cef0121d7d6247d2f1ac4ba71" ns2:_="" ns3:_="">
    <xsd:import namespace="511bda16-106b-4bf9-ab62-74201c64ce91"/>
    <xsd:import namespace="b1729ce5-bd82-49f5-ab74-c5988a195d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1bda16-106b-4bf9-ab62-74201c64ce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729ce5-bd82-49f5-ab74-c5988a195d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4AC94F-16D9-4708-98CE-9B104018812C}"/>
</file>

<file path=customXml/itemProps2.xml><?xml version="1.0" encoding="utf-8"?>
<ds:datastoreItem xmlns:ds="http://schemas.openxmlformats.org/officeDocument/2006/customXml" ds:itemID="{7B414910-8D24-4FC1-9208-E82C4711B1C0}"/>
</file>

<file path=customXml/itemProps3.xml><?xml version="1.0" encoding="utf-8"?>
<ds:datastoreItem xmlns:ds="http://schemas.openxmlformats.org/officeDocument/2006/customXml" ds:itemID="{C0EB766F-4EC1-4C7C-A05B-D847C670D3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이승훈</dc:creator>
  <cp:keywords/>
  <dc:description/>
  <cp:lastModifiedBy>서민석</cp:lastModifiedBy>
  <cp:revision/>
  <dcterms:created xsi:type="dcterms:W3CDTF">2024-09-09T06:47:45Z</dcterms:created>
  <dcterms:modified xsi:type="dcterms:W3CDTF">2024-10-23T04:55:09Z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0x0101005365B9714281FD4483C01F42802E8EB7</vt:lpwstr>
  </property>
</Properties>
</file>